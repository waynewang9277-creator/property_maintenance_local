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2935"/>
  </bookViews>
  <sheets>
    <sheet name="办公楼报告" sheetId="112" r:id="rId1"/>
    <sheet name="商场报告" sheetId="113" r:id="rId2"/>
  </sheets>
  <definedNames>
    <definedName name="_xlnm.Print_Area" localSheetId="0">办公楼报告!$A$1:$R$48</definedName>
    <definedName name="_xlnm.Print_Area" localSheetId="1">商场报告!$A$1:$V$83</definedName>
  </definedNames>
  <calcPr calcId="191029"/>
  <customWorkbookViews>
    <customWorkbookView name="kymtang - 个人视图" guid="{B9BA8337-1B7F-4DB2-BC23-2E5B288FACA4}" personalView="1" maximized="1" windowWidth="1276" windowHeight="781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<sst xmlns="http://schemas.openxmlformats.org/spreadsheetml/2006/main" count="120" uniqueCount="86">
  <si>
    <t>天荟云洲电梯/扶手梯月度故障报告</t>
  </si>
  <si>
    <t>月份：</t>
  </si>
  <si>
    <t xml:space="preserve">   电梯号</t>
  </si>
  <si>
    <t>电梯</t>
  </si>
  <si>
    <t>货梯</t>
  </si>
  <si>
    <t>自动扶梯</t>
  </si>
  <si>
    <t>备注</t>
  </si>
  <si>
    <t>日期</t>
  </si>
  <si>
    <t>P01</t>
  </si>
  <si>
    <t>P02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</si>
  <si>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</si>
  <si>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</si>
  <si>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</si>
  <si>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</si>
  <si>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</si>
  <si>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</si>
  <si>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</si>
  <si>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</si>
  <si>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</si>
  <si>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</si>
  <si>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S01</t>
  </si>
  <si>
    <t>S02</t>
  </si>
  <si>
    <t>E03</t>
  </si>
  <si>
    <t>E04</t>
  </si>
  <si>
    <t>总数：</t>
  </si>
  <si>
    <t>每月故障比率：</t>
  </si>
  <si>
    <t>故障</t>
  </si>
  <si>
    <t>（＝每月故障总数/电梯总数）</t>
  </si>
  <si>
    <t>A：困人</t>
  </si>
  <si>
    <t>D：电梯不停站</t>
  </si>
  <si>
    <t>保养</t>
  </si>
  <si>
    <t xml:space="preserve"> 电梯保养不包括上述统计内</t>
  </si>
  <si>
    <t>B：电梯门故障</t>
  </si>
  <si>
    <t>E：电梯轿箱与楼板地平不平</t>
  </si>
  <si>
    <t>H：保养停机</t>
  </si>
  <si>
    <t>若电梯故障率超过0.5，必须向电梯公司提出警告及改善，并向总公司报告。</t>
  </si>
  <si>
    <t>C：操作手按钮故障</t>
  </si>
  <si>
    <t>F：有异常声响    G：其他（注明原因）</t>
  </si>
  <si>
    <t xml:space="preserve">       制表者：</t>
  </si>
  <si>
    <t>工程经理：</t>
  </si>
  <si>
    <t>物业经理：</t>
  </si>
  <si>
    <t xml:space="preserve">        日 期：</t>
  </si>
  <si>
    <t>日 期：</t>
  </si>
  <si>
    <t xml:space="preserve">     日 期：</t>
  </si>
  <si>
    <t xml:space="preserve">   电梯出产商：</t>
  </si>
  <si>
    <t>迅达（中国）电梯有限公司</t>
  </si>
  <si>
    <t xml:space="preserve"> 电梯保养商：</t>
  </si>
  <si>
    <t>天荟广场电梯/扶手梯月度故障报告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</si>
  <si>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</si>
  <si>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</si>
  <si>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</si>
  <si>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</si>
  <si>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</si>
  <si>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</si>
  <si>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</si>
  <si>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</si>
  <si>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</si>
  <si>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</si>
  <si>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</si>
  <si>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</si>
  <si>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</si>
  <si>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</si>
  <si>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</si>
  <si>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</si>
  <si>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</si>
  <si>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手扶梯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</si>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</sst>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1">
    <font>
      <sz val="12"/>
      <name val="宋体"/>
      <charset val="134"/>
    </font>
    <font>
      <sz val="12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sz val="10"/>
      <name val="Helv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2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26" applyNumberFormat="0" applyAlignment="0" applyProtection="0">
      <alignment vertical="center"/>
    </xf>
    <xf numFmtId="0" fontId="18" fillId="4" borderId="27" applyNumberFormat="0" applyAlignment="0" applyProtection="0">
      <alignment vertical="center"/>
    </xf>
    <xf numFmtId="0" fontId="19" fillId="4" borderId="26" applyNumberFormat="0" applyAlignment="0" applyProtection="0">
      <alignment vertical="center"/>
    </xf>
    <xf numFmtId="0" fontId="20" fillId="5" borderId="28" applyNumberFormat="0" applyAlignment="0" applyProtection="0">
      <alignment vertical="center"/>
    </xf>
    <xf numFmtId="0" fontId="21" fillId="0" borderId="29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/>
    <xf numFmtId="0" fontId="1" fillId="0" borderId="0"/>
    <xf numFmtId="0" fontId="1" fillId="0" borderId="0">
      <alignment vertical="center"/>
    </xf>
    <xf numFmtId="0" fontId="1" fillId="0" borderId="0"/>
    <xf numFmtId="0" fontId="29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/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/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9" fillId="0" borderId="0">
      <alignment vertical="center"/>
    </xf>
    <xf numFmtId="0" fontId="1" fillId="0" borderId="0"/>
    <xf numFmtId="0" fontId="1" fillId="0" borderId="0">
      <alignment vertical="center"/>
    </xf>
    <xf numFmtId="0" fontId="30" fillId="0" borderId="0"/>
  </cellStyleXfs>
  <cellXfs count="53">
    <xf numFmtId="0" fontId="0" fillId="0" borderId="0" xfId="0">
      <alignment vertical="center"/>
    </xf>
    <xf numFmtId="0" fontId="1" fillId="0" borderId="0" xfId="78">
      <alignment vertical="center"/>
    </xf>
    <xf numFmtId="0" fontId="2" fillId="0" borderId="0" xfId="78" applyFont="1" applyAlignment="1">
      <alignment horizontal="center" vertical="center"/>
    </xf>
    <xf numFmtId="0" fontId="3" fillId="0" borderId="0" xfId="78" applyFont="1" applyAlignment="1">
      <alignment horizontal="center" vertical="center"/>
    </xf>
    <xf numFmtId="0" fontId="4" fillId="0" borderId="0" xfId="78" applyFont="1">
      <alignment vertical="center"/>
    </xf>
    <xf numFmtId="0" fontId="1" fillId="0" borderId="0" xfId="78" applyAlignment="1">
      <alignment horizontal="right" vertical="center"/>
    </xf>
    <xf numFmtId="0" fontId="1" fillId="0" borderId="1" xfId="78" applyBorder="1">
      <alignment vertical="center"/>
    </xf>
    <xf numFmtId="0" fontId="5" fillId="0" borderId="2" xfId="78" applyFont="1" applyBorder="1" applyAlignment="1">
      <alignment horizontal="center" vertical="top"/>
    </xf>
    <xf numFmtId="0" fontId="4" fillId="0" borderId="3" xfId="78" applyFont="1" applyBorder="1" applyAlignment="1">
      <alignment horizontal="center" vertical="center"/>
    </xf>
    <xf numFmtId="0" fontId="4" fillId="0" borderId="4" xfId="78" applyFont="1" applyBorder="1" applyAlignment="1">
      <alignment horizontal="center" vertical="center"/>
    </xf>
    <xf numFmtId="0" fontId="4" fillId="0" borderId="5" xfId="78" applyFont="1" applyBorder="1" applyAlignment="1">
      <alignment horizontal="center" vertical="center"/>
    </xf>
    <xf numFmtId="0" fontId="4" fillId="0" borderId="6" xfId="78" applyFont="1" applyBorder="1" applyAlignment="1">
      <alignment horizontal="center" vertical="center"/>
    </xf>
    <xf numFmtId="0" fontId="5" fillId="0" borderId="7" xfId="78" applyFont="1" applyBorder="1" applyAlignment="1">
      <alignment horizontal="center" vertical="top"/>
    </xf>
    <xf numFmtId="0" fontId="4" fillId="0" borderId="8" xfId="78" applyFont="1" applyBorder="1" applyAlignment="1">
      <alignment horizontal="center" vertical="center"/>
    </xf>
    <xf numFmtId="0" fontId="4" fillId="0" borderId="1" xfId="78" applyFont="1" applyBorder="1" applyAlignment="1">
      <alignment horizontal="center" vertical="center"/>
    </xf>
    <xf numFmtId="0" fontId="4" fillId="0" borderId="9" xfId="78" applyFont="1" applyBorder="1" applyAlignment="1">
      <alignment horizontal="center" vertical="center"/>
    </xf>
    <xf numFmtId="0" fontId="1" fillId="0" borderId="10" xfId="78" applyBorder="1" applyAlignment="1">
      <alignment horizontal="center" vertical="center"/>
    </xf>
    <xf numFmtId="0" fontId="5" fillId="0" borderId="11" xfId="78" applyFont="1" applyBorder="1">
      <alignment vertical="center"/>
    </xf>
    <xf numFmtId="0" fontId="4" fillId="0" borderId="12" xfId="78" applyFont="1" applyBorder="1" applyAlignment="1">
      <alignment horizontal="center" vertical="center"/>
    </xf>
    <xf numFmtId="0" fontId="4" fillId="0" borderId="13" xfId="78" applyFont="1" applyBorder="1" applyAlignment="1">
      <alignment horizontal="center" vertical="center"/>
    </xf>
    <xf numFmtId="0" fontId="4" fillId="0" borderId="11" xfId="78" applyFont="1" applyBorder="1" applyAlignment="1">
      <alignment horizontal="center" vertical="center"/>
    </xf>
    <xf numFmtId="0" fontId="1" fillId="0" borderId="12" xfId="78" applyBorder="1" applyAlignment="1">
      <alignment horizontal="center" vertical="center"/>
    </xf>
    <xf numFmtId="0" fontId="1" fillId="0" borderId="0" xfId="78" applyAlignment="1">
      <alignment horizontal="center" vertical="center"/>
    </xf>
    <xf numFmtId="0" fontId="1" fillId="0" borderId="12" xfId="78" applyBorder="1" applyAlignment="1">
      <alignment horizontal="center" vertical="center"/>
    </xf>
    <xf numFmtId="0" fontId="1" fillId="0" borderId="14" xfId="78" applyBorder="1" applyAlignment="1">
      <alignment horizontal="center" vertical="center"/>
    </xf>
    <xf numFmtId="0" fontId="4" fillId="0" borderId="15" xfId="78" applyFont="1" applyBorder="1" applyAlignment="1">
      <alignment horizontal="center" vertical="center"/>
    </xf>
    <xf numFmtId="0" fontId="4" fillId="0" borderId="16" xfId="78" applyFont="1" applyBorder="1" applyAlignment="1">
      <alignment horizontal="center" vertical="center"/>
    </xf>
    <xf numFmtId="0" fontId="4" fillId="0" borderId="17" xfId="78" applyFont="1" applyBorder="1" applyAlignment="1">
      <alignment horizontal="center" vertical="center"/>
    </xf>
    <xf numFmtId="0" fontId="4" fillId="0" borderId="0" xfId="78" applyFont="1" applyAlignment="1">
      <alignment horizontal="center" vertical="center"/>
    </xf>
    <xf numFmtId="0" fontId="4" fillId="0" borderId="18" xfId="78" applyFont="1" applyBorder="1" applyAlignment="1">
      <alignment horizontal="center" vertical="center"/>
    </xf>
    <xf numFmtId="0" fontId="4" fillId="0" borderId="19" xfId="78" applyFont="1" applyBorder="1" applyAlignment="1">
      <alignment horizontal="center" vertical="center"/>
    </xf>
    <xf numFmtId="0" fontId="1" fillId="0" borderId="12" xfId="78" applyBorder="1">
      <alignment vertical="center"/>
    </xf>
    <xf numFmtId="0" fontId="1" fillId="0" borderId="20" xfId="78" applyBorder="1" applyAlignment="1">
      <alignment horizontal="center" vertical="center"/>
    </xf>
    <xf numFmtId="0" fontId="1" fillId="0" borderId="21" xfId="78" applyBorder="1" applyAlignment="1">
      <alignment horizontal="center" vertical="center"/>
    </xf>
    <xf numFmtId="176" fontId="4" fillId="0" borderId="1" xfId="78" applyNumberFormat="1" applyFont="1" applyBorder="1">
      <alignment vertical="center"/>
    </xf>
    <xf numFmtId="0" fontId="4" fillId="0" borderId="1" xfId="78" applyFont="1" applyBorder="1">
      <alignment vertical="center"/>
    </xf>
    <xf numFmtId="0" fontId="6" fillId="0" borderId="0" xfId="78" applyFont="1">
      <alignment vertical="center"/>
    </xf>
    <xf numFmtId="0" fontId="4" fillId="0" borderId="0" xfId="78" applyFont="1" applyAlignment="1">
      <alignment horizontal="left" vertical="center" wrapText="1"/>
    </xf>
    <xf numFmtId="0" fontId="4" fillId="0" borderId="0" xfId="78" applyFont="1" applyAlignment="1">
      <alignment horizontal="right" vertical="center"/>
    </xf>
    <xf numFmtId="0" fontId="7" fillId="0" borderId="1" xfId="78" applyFont="1" applyBorder="1">
      <alignment vertical="center"/>
    </xf>
    <xf numFmtId="0" fontId="7" fillId="0" borderId="1" xfId="78" applyFont="1" applyBorder="1" applyAlignment="1">
      <alignment horizontal="center" vertical="center"/>
    </xf>
    <xf numFmtId="0" fontId="7" fillId="0" borderId="0" xfId="78" applyFont="1" applyAlignment="1">
      <alignment horizontal="center" vertical="center"/>
    </xf>
    <xf numFmtId="14" fontId="7" fillId="0" borderId="22" xfId="78" applyNumberFormat="1" applyFont="1" applyBorder="1">
      <alignment vertical="center"/>
    </xf>
    <xf numFmtId="14" fontId="7" fillId="0" borderId="0" xfId="78" applyNumberFormat="1" applyFont="1">
      <alignment vertical="center"/>
    </xf>
    <xf numFmtId="14" fontId="7" fillId="0" borderId="22" xfId="78" applyNumberFormat="1" applyFont="1" applyBorder="1" applyAlignment="1">
      <alignment horizontal="center" vertical="center"/>
    </xf>
    <xf numFmtId="0" fontId="1" fillId="0" borderId="22" xfId="78" applyBorder="1">
      <alignment vertical="center"/>
    </xf>
    <xf numFmtId="0" fontId="7" fillId="0" borderId="22" xfId="78" applyFont="1" applyBorder="1">
      <alignment vertical="center"/>
    </xf>
    <xf numFmtId="0" fontId="7" fillId="0" borderId="22" xfId="78" applyFont="1" applyBorder="1" applyAlignment="1">
      <alignment horizontal="center" vertical="center"/>
    </xf>
    <xf numFmtId="0" fontId="7" fillId="0" borderId="0" xfId="78" applyFont="1">
      <alignment vertical="center"/>
    </xf>
    <xf numFmtId="0" fontId="1" fillId="0" borderId="13" xfId="78" applyBorder="1" applyAlignment="1">
      <alignment horizontal="center" vertical="center"/>
    </xf>
    <xf numFmtId="0" fontId="7" fillId="0" borderId="13" xfId="78" applyFont="1" applyBorder="1" applyAlignment="1">
      <alignment horizontal="center" vertical="center"/>
    </xf>
    <xf numFmtId="0" fontId="5" fillId="0" borderId="13" xfId="78" applyFont="1" applyBorder="1" applyAlignment="1">
      <alignment horizontal="center" vertical="center"/>
    </xf>
    <xf numFmtId="0" fontId="1" fillId="0" borderId="15" xfId="78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Book1" xfId="49"/>
    <cellStyle name="常规 10" xfId="50"/>
    <cellStyle name="常规 11" xfId="51"/>
    <cellStyle name="常规 12" xfId="52"/>
    <cellStyle name="常规 13" xfId="53"/>
    <cellStyle name="常规 14" xfId="54"/>
    <cellStyle name="常规 15" xfId="55"/>
    <cellStyle name="常规 16" xfId="56"/>
    <cellStyle name="常规 17" xfId="57"/>
    <cellStyle name="常规 18" xfId="58"/>
    <cellStyle name="常规 19" xfId="59"/>
    <cellStyle name="常规 2" xfId="60"/>
    <cellStyle name="常规 2 2" xfId="61"/>
    <cellStyle name="常规 2 3" xfId="62"/>
    <cellStyle name="常规 2 3 2" xfId="63"/>
    <cellStyle name="常规 2 3 2 2" xfId="64"/>
    <cellStyle name="常规 20" xfId="65"/>
    <cellStyle name="常规 21" xfId="66"/>
    <cellStyle name="常规 22" xfId="67"/>
    <cellStyle name="常规 23" xfId="68"/>
    <cellStyle name="常规 3" xfId="69"/>
    <cellStyle name="常规 3 2" xfId="70"/>
    <cellStyle name="常规 4" xfId="71"/>
    <cellStyle name="常规 4 2" xfId="72"/>
    <cellStyle name="常规 5" xfId="73"/>
    <cellStyle name="常规 6" xfId="74"/>
    <cellStyle name="常规 7" xfId="75"/>
    <cellStyle name="常规 8" xfId="76"/>
    <cellStyle name="常规 9" xfId="77"/>
    <cellStyle name="常规_电梯扶手梯故障报告2007" xfId="78"/>
    <cellStyle name="样式 1" xfId="7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4</xdr:row>
      <xdr:rowOff>0</xdr:rowOff>
    </xdr:from>
    <xdr:to>
      <xdr:col>0</xdr:col>
      <xdr:colOff>535781</xdr:colOff>
      <xdr:row>6</xdr:row>
      <xdr:rowOff>0</xdr:rowOff>
    </xdr:to>
    <xdr:sp>
      <xdr:nvSpPr>
        <xdr:cNvPr id="2" name="Line 1"/>
        <xdr:cNvSpPr>
          <a:spLocks noChangeShapeType="1"/>
        </xdr:cNvSpPr>
      </xdr:nvSpPr>
      <xdr:spPr>
        <a:xfrm>
          <a:off x="9525" y="981075"/>
          <a:ext cx="525780" cy="29337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25514</xdr:colOff>
      <xdr:row>0</xdr:row>
      <xdr:rowOff>17009</xdr:rowOff>
    </xdr:from>
    <xdr:to>
      <xdr:col>0</xdr:col>
      <xdr:colOff>531526</xdr:colOff>
      <xdr:row>1</xdr:row>
      <xdr:rowOff>58964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400" y="16510"/>
          <a:ext cx="506095" cy="5181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4</xdr:row>
      <xdr:rowOff>0</xdr:rowOff>
    </xdr:from>
    <xdr:to>
      <xdr:col>0</xdr:col>
      <xdr:colOff>535781</xdr:colOff>
      <xdr:row>6</xdr:row>
      <xdr:rowOff>0</xdr:rowOff>
    </xdr:to>
    <xdr:sp>
      <xdr:nvSpPr>
        <xdr:cNvPr id="2" name="Line 1"/>
        <xdr:cNvSpPr>
          <a:spLocks noChangeShapeType="1"/>
        </xdr:cNvSpPr>
      </xdr:nvSpPr>
      <xdr:spPr>
        <a:xfrm>
          <a:off x="9525" y="981075"/>
          <a:ext cx="525780" cy="29337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25514</xdr:colOff>
      <xdr:row>0</xdr:row>
      <xdr:rowOff>17009</xdr:rowOff>
    </xdr:from>
    <xdr:to>
      <xdr:col>0</xdr:col>
      <xdr:colOff>531526</xdr:colOff>
      <xdr:row>1</xdr:row>
      <xdr:rowOff>58964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400" y="16510"/>
          <a:ext cx="506095" cy="51816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39</xdr:row>
      <xdr:rowOff>0</xdr:rowOff>
    </xdr:from>
    <xdr:to>
      <xdr:col>0</xdr:col>
      <xdr:colOff>535781</xdr:colOff>
      <xdr:row>41</xdr:row>
      <xdr:rowOff>0</xdr:rowOff>
    </xdr:to>
    <xdr:sp>
      <xdr:nvSpPr>
        <xdr:cNvPr id="5" name="Line 1"/>
        <xdr:cNvSpPr>
          <a:spLocks noChangeShapeType="1"/>
        </xdr:cNvSpPr>
      </xdr:nvSpPr>
      <xdr:spPr>
        <a:xfrm>
          <a:off x="9525" y="6149340"/>
          <a:ext cx="525780" cy="29337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47"/>
  <sheetViews>
    <sheetView tabSelected="1" view="pageBreakPreview" zoomScaleNormal="112" workbookViewId="0">
      <selection activeCell="H25" sqref="H25"/>
    </sheetView>
  </sheetViews>
  <sheetFormatPr defaultColWidth="9" defaultRowHeight="15.6"/>
  <cols>
    <col min="1" max="1" width="7.125" style="1" customWidth="1"/>
    <col min="2" max="17" width="6.625" style="1" customWidth="1"/>
    <col min="18" max="18" width="18.25" style="1" customWidth="1"/>
    <col min="19" max="16384" width="9" style="1"/>
  </cols>
  <sheetData>
    <row r="1" ht="37.5" customHeight="1"/>
    <row r="2" ht="21" customHeight="1" spans="1:19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 ht="15" customHeight="1" spans="1:19">
      <c r="A3" s="4"/>
      <c r="O3" s="5" t="s">
        <v>1</v>
      </c>
      <c r="P3" s="6"/>
    </row>
    <row r="4" ht="3.75" customHeight="1" spans="1:19">
      <c r="A4" s="4"/>
    </row>
    <row r="5" ht="16.7" customHeight="1" spans="1:19">
      <c r="A5" s="7" t="s">
        <v>2</v>
      </c>
      <c r="B5" s="8" t="s">
        <v>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 t="s">
        <v>4</v>
      </c>
      <c r="O5" s="10"/>
      <c r="P5" s="8" t="s">
        <v>5</v>
      </c>
      <c r="Q5" s="9"/>
      <c r="R5" s="11" t="s">
        <v>6</v>
      </c>
      <c r="S5" s="4"/>
    </row>
    <row r="6" ht="6.4" customHeight="1" spans="1:19">
      <c r="A6" s="12"/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3"/>
      <c r="O6" s="15"/>
      <c r="P6" s="13"/>
      <c r="Q6" s="14"/>
      <c r="R6" s="16"/>
      <c r="S6" s="4"/>
    </row>
    <row r="7" ht="21" customHeight="1" spans="1:19">
      <c r="A7" s="17" t="s">
        <v>7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18" t="s">
        <v>14</v>
      </c>
      <c r="I7" s="18" t="s">
        <v>15</v>
      </c>
      <c r="J7" s="18" t="s">
        <v>16</v>
      </c>
      <c r="K7" s="18" t="s">
        <v>17</v>
      </c>
      <c r="L7" s="18" t="s">
        <v>18</v>
      </c>
      <c r="M7" s="18" t="s">
        <v>19</v>
      </c>
      <c r="N7" s="18" t="s">
        <v>20</v>
      </c>
      <c r="O7" s="18" t="s">
        <v>21</v>
      </c>
      <c r="P7" s="18" t="s">
        <v>22</v>
      </c>
      <c r="Q7" s="18" t="s">
        <v>23</v>
      </c>
      <c r="R7" s="19"/>
      <c r="S7" s="4"/>
    </row>
    <row r="8" ht="11.1" customHeight="1" spans="1:19">
      <c r="A8" s="20">
        <v>1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49"/>
    </row>
    <row r="9" ht="11.1" customHeight="1" spans="1:19">
      <c r="A9" s="20">
        <v>2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49"/>
    </row>
    <row r="10" ht="11.1" customHeight="1" spans="1:19">
      <c r="A10" s="20">
        <v>3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49"/>
    </row>
    <row r="11" ht="11.1" customHeight="1" spans="1:19">
      <c r="A11" s="20">
        <v>4</v>
      </c>
      <c r="B11" s="21"/>
      <c r="C11" s="18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19"/>
    </row>
    <row r="12" ht="11.1" customHeight="1" spans="1:19">
      <c r="A12" s="20">
        <v>5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19"/>
    </row>
    <row r="13" ht="11.1" customHeight="1" spans="1:19">
      <c r="A13" s="20">
        <v>6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49"/>
    </row>
    <row r="14" ht="11.1" customHeight="1" spans="1:19">
      <c r="A14" s="20">
        <v>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49"/>
    </row>
    <row r="15" ht="11.1" customHeight="1" spans="1:19">
      <c r="A15" s="20">
        <v>8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49"/>
    </row>
    <row r="16" ht="11.1" customHeight="1" spans="1:19">
      <c r="A16" s="20">
        <v>9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49"/>
    </row>
    <row r="17" ht="11.1" customHeight="1" spans="1:18">
      <c r="A17" s="20">
        <v>10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50"/>
    </row>
    <row r="18" ht="11.1" customHeight="1" spans="1:18">
      <c r="A18" s="20">
        <v>11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49"/>
    </row>
    <row r="19" ht="11.1" customHeight="1" spans="1:18">
      <c r="A19" s="20">
        <v>12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49"/>
    </row>
    <row r="20" ht="11.1" customHeight="1" spans="1:18">
      <c r="A20" s="20">
        <v>13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49"/>
    </row>
    <row r="21" ht="11.1" customHeight="1" spans="1:18">
      <c r="A21" s="20">
        <v>14</v>
      </c>
      <c r="B21" s="22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3"/>
      <c r="O21" s="21"/>
      <c r="P21" s="21"/>
      <c r="Q21" s="21"/>
      <c r="R21" s="49"/>
    </row>
    <row r="22" ht="11.1" customHeight="1" spans="1:18">
      <c r="A22" s="20">
        <v>15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49"/>
    </row>
    <row r="23" ht="11.1" customHeight="1" spans="1:18">
      <c r="A23" s="20">
        <v>16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49"/>
    </row>
    <row r="24" ht="11.1" customHeight="1" spans="1:18">
      <c r="A24" s="20">
        <v>17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19"/>
    </row>
    <row r="25" ht="11.1" customHeight="1" spans="1:18">
      <c r="A25" s="20">
        <v>18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51"/>
    </row>
    <row r="26" ht="11.1" customHeight="1" spans="1:18">
      <c r="A26" s="20">
        <v>19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49"/>
    </row>
    <row r="27" ht="11.1" customHeight="1" spans="1:18">
      <c r="A27" s="20">
        <v>20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49"/>
    </row>
    <row r="28" ht="11.1" customHeight="1" spans="1:18">
      <c r="A28" s="20">
        <v>21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49"/>
    </row>
    <row r="29" ht="11.1" customHeight="1" spans="1:18">
      <c r="A29" s="20">
        <v>22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51"/>
    </row>
    <row r="30" ht="11.1" customHeight="1" spans="1:18">
      <c r="A30" s="20">
        <v>23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49"/>
    </row>
    <row r="31" ht="11.1" customHeight="1" spans="1:18">
      <c r="A31" s="20">
        <v>24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49"/>
    </row>
    <row r="32" ht="11.1" customHeight="1" spans="1:18">
      <c r="A32" s="20">
        <v>25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19"/>
    </row>
    <row r="33" ht="11.1" customHeight="1" spans="1:21">
      <c r="A33" s="20">
        <v>26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49"/>
    </row>
    <row r="34" ht="11.1" customHeight="1" spans="1:21">
      <c r="A34" s="20">
        <v>27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49"/>
    </row>
    <row r="35" ht="11.1" customHeight="1" spans="1:21">
      <c r="A35" s="20">
        <v>28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49"/>
    </row>
    <row r="36" ht="11.1" customHeight="1" spans="1:21">
      <c r="A36" s="20">
        <v>29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51"/>
    </row>
    <row r="37" ht="11.1" customHeight="1" spans="1:21">
      <c r="A37" s="20">
        <v>30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49"/>
    </row>
    <row r="38" ht="11.1" customHeight="1" spans="1:21">
      <c r="A38" s="20">
        <v>31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52"/>
    </row>
    <row r="39" ht="17.25" customHeight="1" spans="1:21">
      <c r="A39" s="26" t="s">
        <v>24</v>
      </c>
      <c r="B39" s="32" cm="1">
        <f t="array" ref="B39">SUMPRODUCT(--(ISTEXT(B8:B38)))</f>
        <v>0</v>
      </c>
      <c r="C39" s="32" cm="1">
        <f t="array" ref="C39">SUMPRODUCT(--(ISTEXT(C8:C38)))</f>
        <v>0</v>
      </c>
      <c r="D39" s="32" cm="1">
        <f t="array" ref="D39">SUMPRODUCT(--(ISTEXT(D8:D38)))</f>
        <v>0</v>
      </c>
      <c r="E39" s="32" cm="1">
        <f t="array" ref="E39">SUMPRODUCT(--(ISTEXT(E8:E38)))</f>
        <v>0</v>
      </c>
      <c r="F39" s="32" cm="1">
        <f t="array" ref="F39">SUMPRODUCT(--(ISTEXT(F8:F38)))</f>
        <v>0</v>
      </c>
      <c r="G39" s="32" cm="1">
        <f t="array" ref="G39">SUMPRODUCT(--(ISTEXT(G8:G38)))</f>
        <v>0</v>
      </c>
      <c r="H39" s="32" cm="1">
        <f t="array" ref="H39">SUMPRODUCT(--(ISTEXT(H8:H38)))</f>
        <v>0</v>
      </c>
      <c r="I39" s="32" cm="1">
        <f t="array" ref="I39">SUMPRODUCT(--(ISTEXT(I8:I38)))</f>
        <v>0</v>
      </c>
      <c r="J39" s="32" cm="1">
        <f t="array" ref="J39">SUMPRODUCT(--(ISTEXT(J8:J38)))</f>
        <v>0</v>
      </c>
      <c r="K39" s="32" cm="1">
        <f t="array" ref="K39">SUMPRODUCT(--(ISTEXT(K8:K38)))</f>
        <v>0</v>
      </c>
      <c r="L39" s="32" cm="1">
        <f t="array" ref="L39">SUMPRODUCT(--(ISTEXT(L8:L38)))</f>
        <v>0</v>
      </c>
      <c r="M39" s="32" cm="1">
        <f t="array" ref="M39">SUMPRODUCT(--(ISTEXT(M8:M38)))</f>
        <v>0</v>
      </c>
      <c r="N39" s="32" cm="1">
        <f t="array" ref="N39">SUMPRODUCT(--(ISTEXT(N8:N38)))</f>
        <v>0</v>
      </c>
      <c r="O39" s="32" cm="1">
        <f t="array" ref="O39">SUMPRODUCT(--(ISTEXT(O8:O38)))</f>
        <v>0</v>
      </c>
      <c r="P39" s="32" cm="1">
        <f t="array" ref="P39">SUMPRODUCT(--(ISTEXT(P8:P38)))</f>
        <v>0</v>
      </c>
      <c r="Q39" s="32" cm="1">
        <f t="array" ref="Q39">SUMPRODUCT(--(ISTEXT(Q8:Q38)))</f>
        <v>0</v>
      </c>
      <c r="R39" s="33"/>
    </row>
    <row r="40" spans="1:21">
      <c r="A40" s="4" t="s">
        <v>25</v>
      </c>
      <c r="B40" s="4"/>
      <c r="C40" s="34">
        <f>SUM(B39:Q39)/16</f>
        <v>0</v>
      </c>
      <c r="D40" s="35"/>
      <c r="E40" s="4"/>
      <c r="F40" s="4"/>
      <c r="G40" s="4"/>
      <c r="H40" s="36" t="s">
        <v>26</v>
      </c>
      <c r="K40" s="4"/>
      <c r="L40" s="4"/>
      <c r="M40" s="4"/>
      <c r="O40" s="4"/>
      <c r="Q40" s="4"/>
      <c r="R40" s="4"/>
      <c r="U40" s="4"/>
    </row>
    <row r="41" spans="1:21">
      <c r="A41" s="4" t="s">
        <v>27</v>
      </c>
      <c r="B41" s="4"/>
      <c r="C41" s="4"/>
      <c r="D41" s="4"/>
      <c r="E41" s="4"/>
      <c r="F41" s="4"/>
      <c r="G41" s="4"/>
      <c r="H41" s="4" t="s">
        <v>28</v>
      </c>
      <c r="I41" s="4"/>
      <c r="J41" s="4"/>
      <c r="K41" s="4" t="s">
        <v>29</v>
      </c>
      <c r="L41" s="4"/>
      <c r="N41" s="4"/>
      <c r="P41" s="36" t="s">
        <v>30</v>
      </c>
      <c r="Q41" s="4"/>
    </row>
    <row r="42" spans="1:21">
      <c r="A42" s="4" t="s">
        <v>31</v>
      </c>
      <c r="B42" s="4"/>
      <c r="C42" s="4"/>
      <c r="D42" s="4"/>
      <c r="E42" s="4"/>
      <c r="F42" s="4"/>
      <c r="G42" s="4"/>
      <c r="H42" s="4" t="s">
        <v>32</v>
      </c>
      <c r="I42" s="4"/>
      <c r="J42" s="4"/>
      <c r="K42" s="4" t="s">
        <v>33</v>
      </c>
      <c r="L42" s="4"/>
      <c r="N42" s="4"/>
      <c r="P42" s="4" t="s">
        <v>34</v>
      </c>
      <c r="Q42" s="4"/>
      <c r="R42" s="4"/>
    </row>
    <row r="43" ht="27" customHeight="1" spans="1:21">
      <c r="A43" s="37" t="s">
        <v>35</v>
      </c>
      <c r="B43" s="37"/>
      <c r="C43" s="37"/>
      <c r="D43" s="37"/>
      <c r="E43" s="37"/>
      <c r="F43" s="37"/>
      <c r="G43" s="37"/>
      <c r="H43" s="4" t="s">
        <v>36</v>
      </c>
      <c r="I43" s="4"/>
      <c r="J43" s="4"/>
      <c r="K43" s="4"/>
      <c r="L43" s="4" t="s">
        <v>37</v>
      </c>
      <c r="M43" s="4"/>
      <c r="O43" s="4"/>
      <c r="Q43" s="4"/>
      <c r="R43" s="4"/>
    </row>
    <row r="44" ht="30" customHeight="1" spans="1:21">
      <c r="A44" s="38" t="s">
        <v>38</v>
      </c>
      <c r="B44" s="5"/>
      <c r="C44" s="39"/>
      <c r="D44" s="40"/>
      <c r="E44" s="40"/>
      <c r="F44" s="41"/>
      <c r="G44" s="41"/>
      <c r="H44" s="5"/>
      <c r="I44" s="38" t="s">
        <v>39</v>
      </c>
      <c r="J44" s="39"/>
      <c r="K44" s="40"/>
      <c r="L44" s="6"/>
      <c r="O44" s="38" t="s">
        <v>40</v>
      </c>
      <c r="P44" s="39"/>
      <c r="Q44" s="39"/>
      <c r="R44" s="6"/>
    </row>
    <row r="45" ht="30" customHeight="1" spans="1:21">
      <c r="A45" s="38" t="s">
        <v>41</v>
      </c>
      <c r="B45" s="5"/>
      <c r="C45" s="42"/>
      <c r="D45" s="42"/>
      <c r="E45" s="42"/>
      <c r="F45" s="43"/>
      <c r="G45" s="43"/>
      <c r="I45" s="38" t="s">
        <v>42</v>
      </c>
      <c r="J45" s="44"/>
      <c r="K45" s="44"/>
      <c r="L45" s="45"/>
      <c r="O45" s="38" t="s">
        <v>43</v>
      </c>
      <c r="P45" s="44"/>
      <c r="Q45" s="44"/>
      <c r="R45" s="45"/>
    </row>
    <row r="46" ht="30" customHeight="1" spans="1:21">
      <c r="B46" s="38" t="s">
        <v>44</v>
      </c>
      <c r="C46" s="46" t="s">
        <v>45</v>
      </c>
      <c r="D46" s="47"/>
      <c r="E46" s="47"/>
      <c r="F46" s="41"/>
      <c r="G46" s="41"/>
      <c r="H46" s="48"/>
      <c r="K46" s="38" t="s">
        <v>46</v>
      </c>
      <c r="L46" s="46" t="s">
        <v>45</v>
      </c>
      <c r="M46" s="39"/>
    </row>
    <row r="47" ht="5.25" customHeight="1"/>
  </sheetData>
  <sheetProtection selectLockedCells="1" selectUnlockedCells="1"/>
  <mergeCells count="10">
    <mergeCell ref="A2:R2"/>
    <mergeCell ref="A43:G43"/>
    <mergeCell ref="A44:B44"/>
    <mergeCell ref="A45:B45"/>
    <mergeCell ref="J45:K45"/>
    <mergeCell ref="A5:A6"/>
    <mergeCell ref="R5:R6"/>
    <mergeCell ref="B5:M6"/>
    <mergeCell ref="N5:O6"/>
    <mergeCell ref="P5:Q6"/>
  </mergeCells>
  <printOptions horizontalCentered="1"/>
  <pageMargins left="0.551181102362205" right="0.354330708661417" top="0.196850393700787" bottom="0.196850393700787" header="0.31496062992126" footer="0.196850393700787"/>
  <pageSetup paperSize="9" scale="91" fitToWidth="0" orientation="landscape"/>
  <headerFooter>
    <oddFooter>&amp;LSHKS/RO/2553/REV03/20240630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82"/>
  <sheetViews>
    <sheetView view="pageBreakPreview" zoomScaleNormal="112" workbookViewId="0">
      <selection activeCell="B39" sqref="B39"/>
    </sheetView>
  </sheetViews>
  <sheetFormatPr defaultColWidth="9" defaultRowHeight="15.6"/>
  <cols>
    <col min="1" max="1" width="7.125" style="1" customWidth="1"/>
    <col min="2" max="21" width="6.625" style="1" customWidth="1"/>
    <col min="22" max="22" width="18.25" style="1" customWidth="1"/>
    <col min="23" max="16384" width="9" style="1"/>
  </cols>
  <sheetData>
    <row r="1" ht="37.5" customHeight="1"/>
    <row r="2" ht="21" customHeight="1" spans="1:23">
      <c r="A2" s="2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ht="15" customHeight="1" spans="1:23">
      <c r="A3" s="4"/>
      <c r="P3" s="5" t="s">
        <v>1</v>
      </c>
      <c r="Q3" s="6"/>
    </row>
    <row r="4" ht="3.75" customHeight="1" spans="1:23">
      <c r="A4" s="4"/>
    </row>
    <row r="5" ht="16.7" customHeight="1" spans="1:23">
      <c r="A5" s="7" t="s">
        <v>2</v>
      </c>
      <c r="B5" s="8" t="s">
        <v>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/>
      <c r="V5" s="11" t="s">
        <v>6</v>
      </c>
      <c r="W5" s="4"/>
    </row>
    <row r="6" ht="6.4" customHeight="1" spans="1:23">
      <c r="A6" s="12"/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/>
      <c r="V6" s="16"/>
      <c r="W6" s="4"/>
    </row>
    <row r="7" ht="21" customHeight="1" spans="1:23">
      <c r="A7" s="17" t="s">
        <v>7</v>
      </c>
      <c r="B7" s="18" t="s">
        <v>48</v>
      </c>
      <c r="C7" s="18" t="s">
        <v>49</v>
      </c>
      <c r="D7" s="18" t="s">
        <v>50</v>
      </c>
      <c r="E7" s="18" t="s">
        <v>51</v>
      </c>
      <c r="F7" s="18" t="s">
        <v>52</v>
      </c>
      <c r="G7" s="18" t="s">
        <v>53</v>
      </c>
      <c r="H7" s="18" t="s">
        <v>54</v>
      </c>
      <c r="I7" s="18" t="s">
        <v>55</v>
      </c>
      <c r="J7" s="18" t="s">
        <v>56</v>
      </c>
      <c r="K7" s="18" t="s">
        <v>57</v>
      </c>
      <c r="L7" s="18" t="s">
        <v>58</v>
      </c>
      <c r="M7" s="18" t="s">
        <v>59</v>
      </c>
      <c r="N7" s="18" t="s">
        <v>60</v>
      </c>
      <c r="O7" s="18" t="s">
        <v>61</v>
      </c>
      <c r="P7" s="18" t="s">
        <v>62</v>
      </c>
      <c r="Q7" s="18" t="s">
        <v>63</v>
      </c>
      <c r="R7" s="18" t="s">
        <v>64</v>
      </c>
      <c r="S7" s="18"/>
      <c r="T7" s="18"/>
      <c r="U7" s="18"/>
      <c r="V7" s="19"/>
      <c r="W7" s="4"/>
    </row>
    <row r="8" ht="11.1" customHeight="1" spans="1:23">
      <c r="A8" s="20">
        <v>1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19"/>
    </row>
    <row r="9" ht="11.1" customHeight="1" spans="1:23">
      <c r="A9" s="20">
        <v>2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19"/>
    </row>
    <row r="10" ht="11.1" customHeight="1" spans="1:23">
      <c r="A10" s="20">
        <v>3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19"/>
    </row>
    <row r="11" ht="11.1" customHeight="1" spans="1:23">
      <c r="A11" s="20">
        <v>4</v>
      </c>
      <c r="B11" s="21"/>
      <c r="C11" s="18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19"/>
    </row>
    <row r="12" ht="11.1" customHeight="1" spans="1:23">
      <c r="A12" s="20">
        <v>5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19"/>
    </row>
    <row r="13" ht="11.1" customHeight="1" spans="1:23">
      <c r="A13" s="20">
        <v>6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19"/>
    </row>
    <row r="14" ht="11.1" customHeight="1" spans="1:23">
      <c r="A14" s="20">
        <v>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19"/>
    </row>
    <row r="15" ht="11.1" customHeight="1" spans="1:23">
      <c r="A15" s="20">
        <v>8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19"/>
    </row>
    <row r="16" ht="11.1" customHeight="1" spans="1:23">
      <c r="A16" s="20">
        <v>9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19"/>
    </row>
    <row r="17" ht="11.1" customHeight="1" spans="1:22">
      <c r="A17" s="20">
        <v>10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19"/>
    </row>
    <row r="18" ht="11.1" customHeight="1" spans="1:22">
      <c r="A18" s="20">
        <v>11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19"/>
    </row>
    <row r="19" ht="11.1" customHeight="1" spans="1:22">
      <c r="A19" s="20">
        <v>12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19"/>
    </row>
    <row r="20" ht="11.1" customHeight="1" spans="1:22">
      <c r="A20" s="20">
        <v>13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19"/>
    </row>
    <row r="21" ht="11.1" customHeight="1" spans="1:22">
      <c r="A21" s="20">
        <v>14</v>
      </c>
      <c r="B21" s="22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3"/>
      <c r="P21" s="21"/>
      <c r="Q21" s="21"/>
      <c r="R21" s="21"/>
      <c r="S21" s="21"/>
      <c r="T21" s="21"/>
      <c r="U21" s="21"/>
      <c r="V21" s="19"/>
    </row>
    <row r="22" ht="11.1" customHeight="1" spans="1:22">
      <c r="A22" s="20">
        <v>15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19"/>
    </row>
    <row r="23" ht="11.1" customHeight="1" spans="1:22">
      <c r="A23" s="20">
        <v>16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19"/>
    </row>
    <row r="24" ht="11.1" customHeight="1" spans="1:22">
      <c r="A24" s="20">
        <v>17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19"/>
    </row>
    <row r="25" ht="11.1" customHeight="1" spans="1:22">
      <c r="A25" s="20">
        <v>18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19"/>
    </row>
    <row r="26" ht="11.1" customHeight="1" spans="1:22">
      <c r="A26" s="20">
        <v>19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19"/>
    </row>
    <row r="27" ht="11.1" customHeight="1" spans="1:22">
      <c r="A27" s="20">
        <v>20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19"/>
    </row>
    <row r="28" ht="11.1" customHeight="1" spans="1:22">
      <c r="A28" s="20">
        <v>21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19"/>
    </row>
    <row r="29" ht="11.1" customHeight="1" spans="1:22">
      <c r="A29" s="20">
        <v>22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19"/>
    </row>
    <row r="30" ht="11.1" customHeight="1" spans="1:22">
      <c r="A30" s="20">
        <v>23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19"/>
    </row>
    <row r="31" ht="11.1" customHeight="1" spans="1:22">
      <c r="A31" s="20">
        <v>24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19"/>
    </row>
    <row r="32" ht="11.1" customHeight="1" spans="1:22">
      <c r="A32" s="20">
        <v>25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19"/>
    </row>
    <row r="33" ht="11.1" customHeight="1" spans="1:23">
      <c r="A33" s="20">
        <v>26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19"/>
    </row>
    <row r="34" ht="11.1" customHeight="1" spans="1:23">
      <c r="A34" s="20">
        <v>27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19"/>
    </row>
    <row r="35" ht="11.1" customHeight="1" spans="1:23">
      <c r="A35" s="20">
        <v>28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19"/>
    </row>
    <row r="36" ht="11.1" customHeight="1" spans="1:23">
      <c r="A36" s="20">
        <v>29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19"/>
    </row>
    <row r="37" ht="11.1" customHeight="1" spans="1:23">
      <c r="A37" s="20">
        <v>30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19"/>
    </row>
    <row r="38" ht="11.1" customHeight="1" spans="1:23">
      <c r="A38" s="20">
        <v>31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5"/>
    </row>
    <row r="39" ht="18.75" customHeight="1" spans="1:23">
      <c r="A39" s="26" t="s">
        <v>24</v>
      </c>
      <c r="B39" s="21" cm="1">
        <f t="array" ref="B39">SUMPRODUCT(--(ISTEXT(B8:B38)))</f>
        <v>0</v>
      </c>
      <c r="C39" s="21" cm="1">
        <f t="array" ref="C39">SUMPRODUCT(--(ISTEXT(C8:C38)))</f>
        <v>0</v>
      </c>
      <c r="D39" s="21" cm="1">
        <f t="array" ref="D39">SUMPRODUCT(--(ISTEXT(D8:D38)))</f>
        <v>0</v>
      </c>
      <c r="E39" s="21" cm="1">
        <f t="array" ref="E39">SUMPRODUCT(--(ISTEXT(E8:E38)))</f>
        <v>0</v>
      </c>
      <c r="F39" s="21" cm="1">
        <f t="array" ref="F39">SUMPRODUCT(--(ISTEXT(F8:F38)))</f>
        <v>0</v>
      </c>
      <c r="G39" s="21" cm="1">
        <f t="array" ref="G39">SUMPRODUCT(--(ISTEXT(G8:G38)))</f>
        <v>0</v>
      </c>
      <c r="H39" s="21" cm="1">
        <f t="array" ref="H39">SUMPRODUCT(--(ISTEXT(H8:H38)))</f>
        <v>0</v>
      </c>
      <c r="I39" s="21" cm="1">
        <f t="array" ref="I39">SUMPRODUCT(--(ISTEXT(I8:I38)))</f>
        <v>0</v>
      </c>
      <c r="J39" s="21" cm="1">
        <f t="array" ref="J39">SUMPRODUCT(--(ISTEXT(J8:J38)))</f>
        <v>0</v>
      </c>
      <c r="K39" s="21" cm="1">
        <f t="array" ref="K39">SUMPRODUCT(--(ISTEXT(K8:K38)))</f>
        <v>0</v>
      </c>
      <c r="L39" s="21" cm="1">
        <f t="array" ref="L39">SUMPRODUCT(--(ISTEXT(L8:L38)))</f>
        <v>0</v>
      </c>
      <c r="M39" s="21" cm="1">
        <f t="array" ref="M39">SUMPRODUCT(--(ISTEXT(M8:M38)))</f>
        <v>0</v>
      </c>
      <c r="N39" s="21" cm="1">
        <f t="array" ref="N39">SUMPRODUCT(--(ISTEXT(N8:N38)))</f>
        <v>0</v>
      </c>
      <c r="O39" s="21" cm="1">
        <f t="array" ref="O39">SUMPRODUCT(--(ISTEXT(O8:O38)))</f>
        <v>0</v>
      </c>
      <c r="P39" s="21" cm="1">
        <f t="array" ref="P39">SUMPRODUCT(--(ISTEXT(P8:P38)))</f>
        <v>0</v>
      </c>
      <c r="Q39" s="21" cm="1">
        <f t="array" ref="Q39">SUMPRODUCT(--(ISTEXT(Q8:Q38)))</f>
        <v>0</v>
      </c>
      <c r="R39" s="21" cm="1">
        <f t="array" ref="R39">SUMPRODUCT(--(ISTEXT(R8:R38)))</f>
        <v>0</v>
      </c>
      <c r="S39" s="21"/>
      <c r="T39" s="21"/>
      <c r="U39" s="21"/>
      <c r="V39" s="21"/>
    </row>
    <row r="40" ht="16.7" customHeight="1" spans="1:23">
      <c r="A40" s="7" t="s">
        <v>2</v>
      </c>
      <c r="B40" s="27" t="s">
        <v>65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9"/>
      <c r="V40" s="30" t="s">
        <v>6</v>
      </c>
      <c r="W40" s="4"/>
    </row>
    <row r="41" ht="6.4" customHeight="1" spans="1:23">
      <c r="A41" s="12"/>
      <c r="B41" s="13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5"/>
      <c r="V41" s="16"/>
      <c r="W41" s="4"/>
    </row>
    <row r="42" ht="21" customHeight="1" spans="1:23">
      <c r="A42" s="17" t="s">
        <v>7</v>
      </c>
      <c r="B42" s="18" t="s">
        <v>66</v>
      </c>
      <c r="C42" s="18" t="s">
        <v>67</v>
      </c>
      <c r="D42" s="18" t="s">
        <v>68</v>
      </c>
      <c r="E42" s="18" t="s">
        <v>69</v>
      </c>
      <c r="F42" s="18" t="s">
        <v>70</v>
      </c>
      <c r="G42" s="18" t="s">
        <v>71</v>
      </c>
      <c r="H42" s="18" t="s">
        <v>72</v>
      </c>
      <c r="I42" s="18" t="s">
        <v>73</v>
      </c>
      <c r="J42" s="18" t="s">
        <v>74</v>
      </c>
      <c r="K42" s="18" t="s">
        <v>75</v>
      </c>
      <c r="L42" s="18" t="s">
        <v>76</v>
      </c>
      <c r="M42" s="18" t="s">
        <v>77</v>
      </c>
      <c r="N42" s="18" t="s">
        <v>78</v>
      </c>
      <c r="O42" s="18" t="s">
        <v>79</v>
      </c>
      <c r="P42" s="18" t="s">
        <v>80</v>
      </c>
      <c r="Q42" s="18" t="s">
        <v>81</v>
      </c>
      <c r="R42" s="18" t="s">
        <v>82</v>
      </c>
      <c r="S42" s="18" t="s">
        <v>83</v>
      </c>
      <c r="T42" s="18" t="s">
        <v>84</v>
      </c>
      <c r="U42" s="18" t="s">
        <v>85</v>
      </c>
      <c r="V42" s="19"/>
      <c r="W42" s="4"/>
    </row>
    <row r="43" ht="11.1" customHeight="1" spans="1:23">
      <c r="A43" s="20">
        <v>1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19"/>
    </row>
    <row r="44" ht="11.1" customHeight="1" spans="1:23">
      <c r="A44" s="20">
        <v>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19"/>
    </row>
    <row r="45" ht="11.1" customHeight="1" spans="1:23">
      <c r="A45" s="20">
        <v>3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19"/>
    </row>
    <row r="46" ht="11.1" customHeight="1" spans="1:23">
      <c r="A46" s="20">
        <v>4</v>
      </c>
      <c r="B46" s="21"/>
      <c r="C46" s="18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19"/>
    </row>
    <row r="47" ht="11.1" customHeight="1" spans="1:23">
      <c r="A47" s="20">
        <v>5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19"/>
    </row>
    <row r="48" ht="11.1" customHeight="1" spans="1:23">
      <c r="A48" s="20">
        <v>6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19"/>
    </row>
    <row r="49" ht="11.1" customHeight="1" spans="1:22">
      <c r="A49" s="20">
        <v>7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19"/>
    </row>
    <row r="50" ht="11.1" customHeight="1" spans="1:22">
      <c r="A50" s="20">
        <v>8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19"/>
    </row>
    <row r="51" ht="11.1" customHeight="1" spans="1:22">
      <c r="A51" s="20">
        <v>9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19"/>
    </row>
    <row r="52" ht="11.1" customHeight="1" spans="1:22">
      <c r="A52" s="20">
        <v>10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19"/>
    </row>
    <row r="53" ht="11.1" customHeight="1" spans="1:22">
      <c r="A53" s="20">
        <v>11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19"/>
    </row>
    <row r="54" ht="11.1" customHeight="1" spans="1:22">
      <c r="A54" s="20">
        <v>12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19"/>
    </row>
    <row r="55" ht="11.1" customHeight="1" spans="1:22">
      <c r="A55" s="20">
        <v>13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19"/>
    </row>
    <row r="56" ht="11.1" customHeight="1" spans="1:22">
      <c r="A56" s="20">
        <v>14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31"/>
      <c r="P56" s="21"/>
      <c r="Q56" s="21"/>
      <c r="R56" s="21"/>
      <c r="S56" s="21"/>
      <c r="T56" s="21"/>
      <c r="U56" s="21"/>
      <c r="V56" s="19"/>
    </row>
    <row r="57" ht="11.1" customHeight="1" spans="1:22">
      <c r="A57" s="20">
        <v>15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19"/>
    </row>
    <row r="58" ht="11.1" customHeight="1" spans="1:22">
      <c r="A58" s="20">
        <v>16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19"/>
    </row>
    <row r="59" ht="11.1" customHeight="1" spans="1:22">
      <c r="A59" s="20">
        <v>17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19"/>
    </row>
    <row r="60" ht="11.1" customHeight="1" spans="1:22">
      <c r="A60" s="20">
        <v>18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19"/>
    </row>
    <row r="61" ht="11.1" customHeight="1" spans="1:22">
      <c r="A61" s="20">
        <v>19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19"/>
    </row>
    <row r="62" ht="11.1" customHeight="1" spans="1:22">
      <c r="A62" s="20">
        <v>20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19"/>
    </row>
    <row r="63" ht="11.1" customHeight="1" spans="1:22">
      <c r="A63" s="20">
        <v>21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19"/>
    </row>
    <row r="64" ht="11.1" customHeight="1" spans="1:22">
      <c r="A64" s="20">
        <v>22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19"/>
    </row>
    <row r="65" ht="11.1" customHeight="1" spans="1:25">
      <c r="A65" s="20">
        <v>23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19"/>
    </row>
    <row r="66" ht="11.1" customHeight="1" spans="1:25">
      <c r="A66" s="20">
        <v>24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19"/>
    </row>
    <row r="67" ht="11.1" customHeight="1" spans="1:25">
      <c r="A67" s="20">
        <v>25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19"/>
    </row>
    <row r="68" ht="11.1" customHeight="1" spans="1:25">
      <c r="A68" s="20">
        <v>26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19"/>
    </row>
    <row r="69" ht="11.1" customHeight="1" spans="1:25">
      <c r="A69" s="20">
        <v>27</v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19"/>
    </row>
    <row r="70" ht="11.1" customHeight="1" spans="1:25">
      <c r="A70" s="20">
        <v>28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19"/>
    </row>
    <row r="71" ht="11.1" customHeight="1" spans="1:25">
      <c r="A71" s="20">
        <v>29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19"/>
    </row>
    <row r="72" ht="11.1" customHeight="1" spans="1:25">
      <c r="A72" s="20">
        <v>30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19"/>
    </row>
    <row r="73" ht="11.1" customHeight="1" spans="1:25">
      <c r="A73" s="20">
        <v>31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5"/>
    </row>
    <row r="74" ht="17.25" customHeight="1" spans="1:25">
      <c r="A74" s="26" t="s">
        <v>24</v>
      </c>
      <c r="B74" s="32" cm="1">
        <f t="array" ref="B74">SUMPRODUCT(--(ISTEXT(B43:B73)))</f>
        <v>0</v>
      </c>
      <c r="C74" s="32" cm="1">
        <f t="array" ref="C74">SUMPRODUCT(--(ISTEXT(C43:C73)))</f>
        <v>0</v>
      </c>
      <c r="D74" s="32" cm="1">
        <f t="array" ref="D74">SUMPRODUCT(--(ISTEXT(D43:D73)))</f>
        <v>0</v>
      </c>
      <c r="E74" s="32" cm="1">
        <f t="array" ref="E74">SUMPRODUCT(--(ISTEXT(E43:E73)))</f>
        <v>0</v>
      </c>
      <c r="F74" s="32" cm="1">
        <f t="array" ref="F74">SUMPRODUCT(--(ISTEXT(F43:F73)))</f>
        <v>0</v>
      </c>
      <c r="G74" s="32" cm="1">
        <f t="array" ref="G74">SUMPRODUCT(--(ISTEXT(G43:G73)))</f>
        <v>0</v>
      </c>
      <c r="H74" s="32" cm="1">
        <f t="array" ref="H74">SUMPRODUCT(--(ISTEXT(H43:H73)))</f>
        <v>0</v>
      </c>
      <c r="I74" s="32" cm="1">
        <f t="array" ref="I74">SUMPRODUCT(--(ISTEXT(I43:I73)))</f>
        <v>0</v>
      </c>
      <c r="J74" s="32" cm="1">
        <f t="array" ref="J74">SUMPRODUCT(--(ISTEXT(J43:J73)))</f>
        <v>0</v>
      </c>
      <c r="K74" s="32" cm="1">
        <f t="array" ref="K74">SUMPRODUCT(--(ISTEXT(K43:K73)))</f>
        <v>0</v>
      </c>
      <c r="L74" s="32" cm="1">
        <f t="array" ref="L74">SUMPRODUCT(--(ISTEXT(L43:L73)))</f>
        <v>0</v>
      </c>
      <c r="M74" s="32" cm="1">
        <f t="array" ref="M74">SUMPRODUCT(--(ISTEXT(M43:M73)))</f>
        <v>0</v>
      </c>
      <c r="N74" s="32" cm="1">
        <f t="array" ref="N74">SUMPRODUCT(--(ISTEXT(N43:N73)))</f>
        <v>0</v>
      </c>
      <c r="O74" s="32" cm="1">
        <f t="array" ref="O74">SUMPRODUCT(--(ISTEXT(O43:O73)))</f>
        <v>0</v>
      </c>
      <c r="P74" s="32" cm="1">
        <f t="array" ref="P74">SUMPRODUCT(--(ISTEXT(P43:P73)))</f>
        <v>0</v>
      </c>
      <c r="Q74" s="32" cm="1">
        <f t="array" ref="Q74">SUMPRODUCT(--(ISTEXT(Q43:Q73)))</f>
        <v>0</v>
      </c>
      <c r="R74" s="32" cm="1">
        <f t="array" ref="R74">SUMPRODUCT(--(ISTEXT(R43:R73)))</f>
        <v>0</v>
      </c>
      <c r="S74" s="32" cm="1">
        <f t="array" ref="S74">SUMPRODUCT(--(ISTEXT(S43:S73)))</f>
        <v>0</v>
      </c>
      <c r="T74" s="32" cm="1">
        <f t="array" ref="T74">SUMPRODUCT(--(ISTEXT(T43:T73)))</f>
        <v>0</v>
      </c>
      <c r="U74" s="32" cm="1">
        <f t="array" ref="U74">SUMPRODUCT(--(ISTEXT(U43:U73)))</f>
        <v>0</v>
      </c>
      <c r="V74" s="33"/>
    </row>
    <row r="75" spans="1:25">
      <c r="A75" s="4" t="s">
        <v>25</v>
      </c>
      <c r="B75" s="4"/>
      <c r="C75" s="34">
        <f>SUM(B39:R39,B74:U74)/37</f>
        <v>0</v>
      </c>
      <c r="D75" s="35"/>
      <c r="E75" s="4"/>
      <c r="F75" s="4"/>
      <c r="G75" s="4"/>
      <c r="H75" s="36" t="s">
        <v>26</v>
      </c>
      <c r="K75" s="4"/>
      <c r="L75" s="4"/>
      <c r="M75" s="4"/>
      <c r="N75" s="4"/>
      <c r="P75" s="4"/>
      <c r="U75" s="4"/>
      <c r="V75" s="4"/>
      <c r="Y75" s="4"/>
    </row>
    <row r="76" spans="1:25">
      <c r="A76" s="4" t="s">
        <v>27</v>
      </c>
      <c r="B76" s="4"/>
      <c r="C76" s="4"/>
      <c r="D76" s="4"/>
      <c r="E76" s="4"/>
      <c r="F76" s="4"/>
      <c r="G76" s="4"/>
      <c r="H76" s="4" t="s">
        <v>28</v>
      </c>
      <c r="I76" s="4"/>
      <c r="J76" s="4"/>
      <c r="K76" s="4" t="s">
        <v>29</v>
      </c>
      <c r="L76" s="4"/>
      <c r="O76" s="4"/>
      <c r="Q76" s="36" t="s">
        <v>30</v>
      </c>
      <c r="R76" s="36"/>
      <c r="S76" s="36"/>
      <c r="T76" s="36"/>
      <c r="U76" s="4"/>
    </row>
    <row r="77" spans="1:25">
      <c r="A77" s="4" t="s">
        <v>31</v>
      </c>
      <c r="B77" s="4"/>
      <c r="C77" s="4"/>
      <c r="D77" s="4"/>
      <c r="E77" s="4"/>
      <c r="F77" s="4"/>
      <c r="G77" s="4"/>
      <c r="H77" s="4" t="s">
        <v>32</v>
      </c>
      <c r="I77" s="4"/>
      <c r="J77" s="4"/>
      <c r="K77" s="4" t="s">
        <v>33</v>
      </c>
      <c r="L77" s="4"/>
      <c r="O77" s="4"/>
      <c r="Q77" s="4" t="s">
        <v>34</v>
      </c>
      <c r="R77" s="4"/>
      <c r="S77" s="4"/>
      <c r="T77" s="4"/>
      <c r="U77" s="4"/>
      <c r="V77" s="4"/>
    </row>
    <row r="78" ht="27" customHeight="1" spans="1:25">
      <c r="A78" s="37" t="s">
        <v>35</v>
      </c>
      <c r="B78" s="37"/>
      <c r="C78" s="37"/>
      <c r="D78" s="37"/>
      <c r="E78" s="37"/>
      <c r="F78" s="37"/>
      <c r="G78" s="37"/>
      <c r="H78" s="4" t="s">
        <v>36</v>
      </c>
      <c r="I78" s="4"/>
      <c r="J78" s="4"/>
      <c r="K78" s="4"/>
      <c r="L78" s="4" t="s">
        <v>37</v>
      </c>
      <c r="M78" s="4"/>
      <c r="N78" s="4"/>
      <c r="P78" s="4"/>
      <c r="U78" s="4"/>
      <c r="V78" s="4"/>
    </row>
    <row r="79" ht="30" customHeight="1" spans="1:25">
      <c r="A79" s="38" t="s">
        <v>38</v>
      </c>
      <c r="B79" s="5"/>
      <c r="C79" s="39"/>
      <c r="D79" s="40"/>
      <c r="E79" s="40"/>
      <c r="F79" s="41"/>
      <c r="G79" s="41"/>
      <c r="H79" s="5"/>
      <c r="I79" s="38" t="s">
        <v>39</v>
      </c>
      <c r="J79" s="39"/>
      <c r="K79" s="40"/>
      <c r="L79" s="6"/>
      <c r="P79" s="38" t="s">
        <v>40</v>
      </c>
      <c r="Q79" s="39"/>
      <c r="R79" s="39"/>
      <c r="S79" s="39"/>
      <c r="T79" s="39"/>
      <c r="U79" s="39"/>
      <c r="V79" s="6"/>
    </row>
    <row r="80" ht="30" customHeight="1" spans="1:25">
      <c r="A80" s="38" t="s">
        <v>41</v>
      </c>
      <c r="B80" s="5"/>
      <c r="C80" s="42"/>
      <c r="D80" s="42"/>
      <c r="E80" s="42"/>
      <c r="F80" s="43"/>
      <c r="G80" s="43"/>
      <c r="I80" s="38" t="s">
        <v>42</v>
      </c>
      <c r="J80" s="44"/>
      <c r="K80" s="44"/>
      <c r="L80" s="45"/>
      <c r="P80" s="38" t="s">
        <v>43</v>
      </c>
      <c r="Q80" s="44"/>
      <c r="R80" s="44"/>
      <c r="S80" s="44"/>
      <c r="T80" s="44"/>
      <c r="U80" s="44"/>
      <c r="V80" s="45"/>
    </row>
    <row r="81" ht="30" customHeight="1" spans="2:14">
      <c r="B81" s="38" t="s">
        <v>44</v>
      </c>
      <c r="C81" s="46" t="s">
        <v>45</v>
      </c>
      <c r="D81" s="47"/>
      <c r="E81" s="47"/>
      <c r="F81" s="41"/>
      <c r="G81" s="41"/>
      <c r="H81" s="48"/>
      <c r="K81" s="38" t="s">
        <v>46</v>
      </c>
      <c r="L81" s="46" t="s">
        <v>45</v>
      </c>
      <c r="M81" s="39"/>
      <c r="N81" s="48"/>
    </row>
    <row r="82" ht="5.25" customHeight="1"/>
  </sheetData>
  <sheetProtection selectLockedCells="1" selectUnlockedCells="1"/>
  <mergeCells count="11">
    <mergeCell ref="A2:V2"/>
    <mergeCell ref="A78:G78"/>
    <mergeCell ref="A79:B79"/>
    <mergeCell ref="A80:B80"/>
    <mergeCell ref="J80:K80"/>
    <mergeCell ref="A5:A6"/>
    <mergeCell ref="A40:A41"/>
    <mergeCell ref="V5:V6"/>
    <mergeCell ref="V40:V41"/>
    <mergeCell ref="B5:U6"/>
    <mergeCell ref="B40:U41"/>
  </mergeCells>
  <printOptions horizontalCentered="1"/>
  <pageMargins left="0.551181102362205" right="0.354330708661417" top="0.196850393700787" bottom="0.196850393700787" header="0.31496062992126" footer="0.196850393700787"/>
  <pageSetup paperSize="8" scale="82" fitToHeight="0" orientation="portrait"/>
  <headerFooter>
    <oddFooter>&amp;LSHKS/RO/2553/REV03/20240630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办公楼报告</vt:lpstr>
      <vt:lpstr>商场报告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kymtang</dc:creator>
  <cp:lastModifiedBy>冰糖心</cp:lastModifiedBy>
  <dcterms:created xsi:type="dcterms:W3CDTF">2011-07-01T01:40:00Z</dcterms:created>
  <cp:lastPrinted>2026-04-23T08:47:00Z</cp:lastPrinted>
  <dcterms:modified xsi:type="dcterms:W3CDTF">2026-04-23T10:40:55Z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91F131676EF34C58A060B2B81BB711EE_13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